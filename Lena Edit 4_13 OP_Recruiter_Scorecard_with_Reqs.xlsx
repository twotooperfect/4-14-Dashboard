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ruiter Data" sheetId="1" r:id="rId4"/>
  </sheets>
  <definedNames/>
  <calcPr/>
  <extLst>
    <ext uri="GoogleSheetsCustomDataVersion2">
      <go:sheetsCustomData xmlns:go="http://customooxmlschemas.google.com/" r:id="rId5" roundtripDataChecksum="1wG4eRRK3puY3x9DJn3IqD50cM5v6Bi9NaMH2aVDRSI="/>
    </ext>
  </extLst>
</workbook>
</file>

<file path=xl/sharedStrings.xml><?xml version="1.0" encoding="utf-8"?>
<sst xmlns="http://schemas.openxmlformats.org/spreadsheetml/2006/main" count="174" uniqueCount="103">
  <si>
    <t>Hanger O&amp;P  |  Talent Acquisition Recruiter Data  |  Q2 2025 (April 1 – June 30, 2025)</t>
  </si>
  <si>
    <t>Recruiter Scorecard  |  16 Recruiters  |  Departments: Clinical, Allied Health, RCM, Operations  |  Reference: careers.hanger.com</t>
  </si>
  <si>
    <t>INPUT DATA — Edit recruiter rows 7–22. Dates follow hiring workflow: Req Open → Submissions → HM Interviews → Offer Extended → Offer Accepted/Declined. Source apply dates precede offer date. Calculated metrics in cols AD–AH are formula-driven.</t>
  </si>
  <si>
    <t>Recruiter Name</t>
  </si>
  <si>
    <t>Department</t>
  </si>
  <si>
    <t>Manager</t>
  </si>
  <si>
    <t>Region</t>
  </si>
  <si>
    <t>Posted Job Req Title</t>
  </si>
  <si>
    <t>Job Req Code</t>
  </si>
  <si>
    <t>Req Open Date</t>
  </si>
  <si>
    <t>Req Close Date</t>
  </si>
  <si>
    <t>Reqs Opened</t>
  </si>
  <si>
    <t>Reqs Closed</t>
  </si>
  <si>
    <t>Active Open Reqs</t>
  </si>
  <si>
    <t>Total Submissions</t>
  </si>
  <si>
    <t>HM Interviews Scheduled</t>
  </si>
  <si>
    <t>Offers Extended</t>
  </si>
  <si>
    <t>Offers Accepted</t>
  </si>
  <si>
    <t>Offers Declined</t>
  </si>
  <si>
    <t>Offer Extended Date</t>
  </si>
  <si>
    <t>Offer Accepted Date</t>
  </si>
  <si>
    <t>Offer Declined Date</t>
  </si>
  <si>
    <t>Source: Referral</t>
  </si>
  <si>
    <t>Referral Apply Date</t>
  </si>
  <si>
    <t>Source: Job Boards</t>
  </si>
  <si>
    <t>Job Boards Apply Date</t>
  </si>
  <si>
    <t>Source: LinkedIn</t>
  </si>
  <si>
    <t>LinkedIn Apply Date</t>
  </si>
  <si>
    <t>Source: Agency</t>
  </si>
  <si>
    <t>Agency Apply Date</t>
  </si>
  <si>
    <t>Source: Campus/Direct</t>
  </si>
  <si>
    <t>Campus Apply Date</t>
  </si>
  <si>
    <t>Jordan Mills</t>
  </si>
  <si>
    <t>Clinical</t>
  </si>
  <si>
    <t>David Johnson</t>
  </si>
  <si>
    <t>Southeast</t>
  </si>
  <si>
    <t>Certified Prosthetist Orthotist (CPO)</t>
  </si>
  <si>
    <t>REQ-CLN-2501</t>
  </si>
  <si>
    <t>Priya Nair</t>
  </si>
  <si>
    <t>Southwest</t>
  </si>
  <si>
    <t>Licensed Prosthetist - Lower Extremity</t>
  </si>
  <si>
    <t>REQ-CLN-2502</t>
  </si>
  <si>
    <t>Marcus Chen</t>
  </si>
  <si>
    <t>Midwest</t>
  </si>
  <si>
    <t>Certified Orthotist - Spinal &amp; Pediatric</t>
  </si>
  <si>
    <t>REQ-CLN-2503</t>
  </si>
  <si>
    <t>Danielle Brooks</t>
  </si>
  <si>
    <t>Northeast</t>
  </si>
  <si>
    <t>O&amp;P Clinical Resident</t>
  </si>
  <si>
    <t>REQ-CLN-2504</t>
  </si>
  <si>
    <t>Tyler Owens</t>
  </si>
  <si>
    <t>Allied Health</t>
  </si>
  <si>
    <t>Meera Patel</t>
  </si>
  <si>
    <t>O&amp;P Technician I</t>
  </si>
  <si>
    <t>REQ-AH-2501</t>
  </si>
  <si>
    <t>Sofia Reyes</t>
  </si>
  <si>
    <t>Orthotic Fabricator</t>
  </si>
  <si>
    <t>REQ-AH-2502</t>
  </si>
  <si>
    <t>Kevin Park</t>
  </si>
  <si>
    <t>West</t>
  </si>
  <si>
    <t>Associate Prosthetist Fabricator</t>
  </si>
  <si>
    <t>REQ-AH-2503</t>
  </si>
  <si>
    <t>Amber Nguyen</t>
  </si>
  <si>
    <t>Certified Orthotic Fitter</t>
  </si>
  <si>
    <t>REQ-AH-2504</t>
  </si>
  <si>
    <t>Rachel Kim</t>
  </si>
  <si>
    <t>RCM</t>
  </si>
  <si>
    <t>Lisa Evans</t>
  </si>
  <si>
    <t>National</t>
  </si>
  <si>
    <t>Medical Billing Specialist - O&amp;P</t>
  </si>
  <si>
    <t>REQ-RCM-2501</t>
  </si>
  <si>
    <t>Brandon Scott</t>
  </si>
  <si>
    <t>Prior Authorization Coordinator</t>
  </si>
  <si>
    <t>REQ-RCM-2502</t>
  </si>
  <si>
    <t>Jasmine Powell</t>
  </si>
  <si>
    <t>Revenue Cycle Analyst</t>
  </si>
  <si>
    <t>REQ-RCM-2503</t>
  </si>
  <si>
    <t>Chloe Martinez</t>
  </si>
  <si>
    <t>Insurance Verification Specialist</t>
  </si>
  <si>
    <t>REQ-RCM-2504</t>
  </si>
  <si>
    <t>Derek Washington</t>
  </si>
  <si>
    <t>Operations</t>
  </si>
  <si>
    <t>Sandra Lee</t>
  </si>
  <si>
    <t>Patient Care Coordinator</t>
  </si>
  <si>
    <t>REQ-OPS-2501</t>
  </si>
  <si>
    <t>Leah Thompson</t>
  </si>
  <si>
    <t>Clinic Office Administrator</t>
  </si>
  <si>
    <t>REQ-OPS-2502</t>
  </si>
  <si>
    <t>Ethan Rivera</t>
  </si>
  <si>
    <t>Clinic Manager - Multi-Site</t>
  </si>
  <si>
    <t>REQ-OPS-2503</t>
  </si>
  <si>
    <t>Monica Grant</t>
  </si>
  <si>
    <t>Patient Scheduling Coordinator</t>
  </si>
  <si>
    <t>REQ-OPS-2504</t>
  </si>
  <si>
    <t>TEAM SUMMARY — Q2 2025</t>
  </si>
  <si>
    <t>TOTAL — All 16 Recruiters</t>
  </si>
  <si>
    <t>All Departments</t>
  </si>
  <si>
    <t>All Managers</t>
  </si>
  <si>
    <t>All Regions</t>
  </si>
  <si>
    <t>Clinical  (4 recruiters)</t>
  </si>
  <si>
    <t>Allied Health  (4 recruiters)</t>
  </si>
  <si>
    <t>RCM  (4 recruiters)</t>
  </si>
  <si>
    <t>Operations  (4 recruiters)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</si>
</sst>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1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10.0"/>
      <color rgb="FFFFFFFF"/>
      <name val="Calibri"/>
    </font>
    <font>
      <i/>
      <sz val="10.0"/>
      <color rgb="FF5D4037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sz val="10.0"/>
      <color rgb="FF000000"/>
      <name val="Calibri"/>
    </font>
    <font>
      <b/>
      <sz val="12.0"/>
      <color rgb="FFFFFFFF"/>
      <name val="Calibri"/>
    </font>
    <font>
      <b/>
      <sz val="10.0"/>
      <color rgb="FFFFFFFF"/>
      <name val="Calibri"/>
    </font>
    <font>
      <b/>
      <sz val="10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9C4"/>
        <bgColor rgb="FFFFF9C4"/>
      </patternFill>
    </fill>
    <fill>
      <patternFill patternType="solid">
        <fgColor rgb="FF1565C0"/>
        <bgColor rgb="FF1565C0"/>
      </patternFill>
    </fill>
    <fill>
      <patternFill patternType="solid">
        <fgColor rgb="FF1976D2"/>
        <bgColor rgb="FF1976D2"/>
      </patternFill>
    </fill>
    <fill>
      <patternFill patternType="solid">
        <fgColor rgb="FF1E88E5"/>
        <bgColor rgb="FF1E88E5"/>
      </patternFill>
    </fill>
    <fill>
      <patternFill patternType="solid">
        <fgColor rgb="FF42A5F5"/>
        <bgColor rgb="FF42A5F5"/>
      </patternFill>
    </fill>
    <fill>
      <patternFill patternType="solid">
        <fgColor rgb="FF0D47A1"/>
        <bgColor rgb="FF0D47A1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BDBDBD"/>
      </right>
      <top style="medium">
        <color rgb="FF1F3864"/>
      </top>
      <bottom style="thin">
        <color rgb="FFBDBDBD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left" vertical="center"/>
    </xf>
    <xf borderId="4" fillId="2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5" fillId="0" fontId="7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5" fillId="0" fontId="7" numFmtId="164" xfId="0" applyAlignment="1" applyBorder="1" applyFont="1" applyNumberFormat="1">
      <alignment horizontal="center" vertical="center"/>
    </xf>
    <xf borderId="5" fillId="0" fontId="7" numFmtId="3" xfId="0" applyAlignment="1" applyBorder="1" applyFont="1" applyNumberFormat="1">
      <alignment horizontal="center" vertical="center"/>
    </xf>
    <xf borderId="1" fillId="2" fontId="8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left" vertical="center"/>
    </xf>
    <xf borderId="6" fillId="0" fontId="10" numFmtId="0" xfId="0" applyAlignment="1" applyBorder="1" applyFont="1">
      <alignment horizontal="center" vertical="center"/>
    </xf>
    <xf borderId="6" fillId="0" fontId="10" numFmtId="3" xfId="0" applyAlignment="1" applyBorder="1" applyFont="1" applyNumberFormat="1">
      <alignment horizontal="center" vertical="center"/>
    </xf>
    <xf borderId="5" fillId="10" fontId="10" numFmtId="0" xfId="0" applyAlignment="1" applyBorder="1" applyFill="1" applyFont="1">
      <alignment horizontal="left" vertical="center"/>
    </xf>
    <xf borderId="5" fillId="10" fontId="7" numFmtId="0" xfId="0" applyAlignment="1" applyBorder="1" applyFont="1">
      <alignment horizontal="center" vertical="center"/>
    </xf>
    <xf borderId="5" fillId="10" fontId="7" numFmtId="3" xfId="0" applyAlignment="1" applyBorder="1" applyFont="1" applyNumberFormat="1">
      <alignment horizontal="center" vertical="center"/>
    </xf>
    <xf borderId="5" fillId="11" fontId="10" numFmtId="0" xfId="0" applyAlignment="1" applyBorder="1" applyFill="1" applyFont="1">
      <alignment horizontal="left" vertical="center"/>
    </xf>
    <xf borderId="5" fillId="11" fontId="7" numFmtId="0" xfId="0" applyAlignment="1" applyBorder="1" applyFont="1">
      <alignment horizontal="center" vertical="center"/>
    </xf>
    <xf borderId="5" fillId="11" fontId="7" numFmtId="3" xfId="0" applyAlignment="1" applyBorder="1" applyFont="1" applyNumberFormat="1">
      <alignment horizontal="center" vertical="center"/>
    </xf>
    <xf borderId="5" fillId="12" fontId="10" numFmtId="0" xfId="0" applyAlignment="1" applyBorder="1" applyFill="1" applyFont="1">
      <alignment horizontal="left" vertical="center"/>
    </xf>
    <xf borderId="5" fillId="12" fontId="7" numFmtId="0" xfId="0" applyAlignment="1" applyBorder="1" applyFont="1">
      <alignment horizontal="center" vertical="center"/>
    </xf>
    <xf borderId="5" fillId="12" fontId="7" numFmtId="3" xfId="0" applyAlignment="1" applyBorder="1" applyFont="1" applyNumberFormat="1">
      <alignment horizontal="center" vertical="center"/>
    </xf>
    <xf borderId="5" fillId="13" fontId="10" numFmtId="0" xfId="0" applyAlignment="1" applyBorder="1" applyFill="1" applyFont="1">
      <alignment horizontal="left" vertical="center"/>
    </xf>
    <xf borderId="5" fillId="13" fontId="7" numFmtId="0" xfId="0" applyAlignment="1" applyBorder="1" applyFont="1">
      <alignment horizontal="center" vertical="center"/>
    </xf>
    <xf borderId="5" fillId="13" fontId="7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16.0"/>
    <col customWidth="1" min="4" max="4" width="12.0"/>
    <col customWidth="1" min="5" max="5" width="32.0"/>
    <col customWidth="1" min="6" max="8" width="14.0"/>
    <col customWidth="1" min="9" max="10" width="10.0"/>
    <col customWidth="1" min="11" max="12" width="14.0"/>
    <col customWidth="1" min="13" max="13" width="16.0"/>
    <col customWidth="1" min="14" max="16" width="14.0"/>
    <col customWidth="1" min="17" max="19" width="16.0"/>
    <col customWidth="1" min="20" max="20" width="14.0"/>
    <col customWidth="1" min="21" max="21" width="16.0"/>
    <col customWidth="1" min="22" max="22" width="14.0"/>
    <col customWidth="1" min="23" max="23" width="16.0"/>
    <col customWidth="1" min="24" max="24" width="12.0"/>
    <col customWidth="1" min="25" max="25" width="16.0"/>
    <col customWidth="1" min="26" max="26" width="12.0"/>
    <col customWidth="1" min="27" max="27" width="16.0"/>
    <col customWidth="1" min="28" max="28" width="14.0"/>
    <col customWidth="1" min="29" max="29" width="16.0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</row>
    <row r="3" ht="7.5" customHeight="1"/>
    <row r="4" ht="18.0" customHeight="1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3"/>
    </row>
    <row r="5" ht="7.5" customHeight="1"/>
    <row r="6" ht="36.0" customHeight="1">
      <c r="A6" s="6" t="s">
        <v>3</v>
      </c>
      <c r="B6" s="6" t="s">
        <v>4</v>
      </c>
      <c r="C6" s="6" t="s">
        <v>5</v>
      </c>
      <c r="D6" s="6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8" t="s">
        <v>11</v>
      </c>
      <c r="J6" s="8" t="s">
        <v>12</v>
      </c>
      <c r="K6" s="8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9" t="s">
        <v>18</v>
      </c>
      <c r="Q6" s="10" t="s">
        <v>19</v>
      </c>
      <c r="R6" s="10" t="s">
        <v>20</v>
      </c>
      <c r="S6" s="10" t="s">
        <v>21</v>
      </c>
      <c r="T6" s="11" t="s">
        <v>22</v>
      </c>
      <c r="U6" s="11" t="s">
        <v>23</v>
      </c>
      <c r="V6" s="11" t="s">
        <v>24</v>
      </c>
      <c r="W6" s="11" t="s">
        <v>25</v>
      </c>
      <c r="X6" s="11" t="s">
        <v>26</v>
      </c>
      <c r="Y6" s="11" t="s">
        <v>27</v>
      </c>
      <c r="Z6" s="11" t="s">
        <v>28</v>
      </c>
      <c r="AA6" s="11" t="s">
        <v>29</v>
      </c>
      <c r="AB6" s="11" t="s">
        <v>30</v>
      </c>
      <c r="AC6" s="11" t="s">
        <v>31</v>
      </c>
    </row>
    <row r="7" ht="18.0" customHeight="1">
      <c r="A7" s="12" t="s">
        <v>32</v>
      </c>
      <c r="B7" s="13" t="s">
        <v>33</v>
      </c>
      <c r="C7" s="13" t="s">
        <v>34</v>
      </c>
      <c r="D7" s="13" t="s">
        <v>35</v>
      </c>
      <c r="E7" s="12" t="s">
        <v>36</v>
      </c>
      <c r="F7" s="13" t="s">
        <v>37</v>
      </c>
      <c r="G7" s="14">
        <v>45775.0</v>
      </c>
      <c r="H7" s="14">
        <v>45814.0</v>
      </c>
      <c r="I7" s="15">
        <v>17.0</v>
      </c>
      <c r="J7" s="15">
        <v>10.0</v>
      </c>
      <c r="K7" s="15">
        <v>7.0</v>
      </c>
      <c r="L7" s="15">
        <v>63.0</v>
      </c>
      <c r="M7" s="15">
        <v>20.0</v>
      </c>
      <c r="N7" s="15">
        <v>15.0</v>
      </c>
      <c r="O7" s="15">
        <v>12.0</v>
      </c>
      <c r="P7" s="15">
        <v>3.0</v>
      </c>
      <c r="Q7" s="14">
        <v>45817.0</v>
      </c>
      <c r="R7" s="14">
        <v>45823.0</v>
      </c>
      <c r="S7" s="14">
        <v>45822.0</v>
      </c>
      <c r="T7" s="15">
        <v>2.0</v>
      </c>
      <c r="U7" s="14">
        <v>45793.0</v>
      </c>
      <c r="V7" s="15">
        <v>4.0</v>
      </c>
      <c r="W7" s="14">
        <v>45777.0</v>
      </c>
      <c r="X7" s="15">
        <v>4.0</v>
      </c>
      <c r="Y7" s="14">
        <v>45794.0</v>
      </c>
      <c r="Z7" s="15">
        <v>2.0</v>
      </c>
      <c r="AA7" s="14">
        <v>45783.0</v>
      </c>
      <c r="AB7" s="15">
        <v>0.0</v>
      </c>
      <c r="AC7" s="13"/>
    </row>
    <row r="8" ht="18.0" customHeight="1">
      <c r="A8" s="12" t="s">
        <v>38</v>
      </c>
      <c r="B8" s="13" t="s">
        <v>33</v>
      </c>
      <c r="C8" s="13" t="s">
        <v>34</v>
      </c>
      <c r="D8" s="13" t="s">
        <v>39</v>
      </c>
      <c r="E8" s="12" t="s">
        <v>40</v>
      </c>
      <c r="F8" s="13" t="s">
        <v>41</v>
      </c>
      <c r="G8" s="14">
        <v>45761.0</v>
      </c>
      <c r="H8" s="14">
        <v>45791.0</v>
      </c>
      <c r="I8" s="15">
        <v>16.0</v>
      </c>
      <c r="J8" s="15">
        <v>12.0</v>
      </c>
      <c r="K8" s="15">
        <v>4.0</v>
      </c>
      <c r="L8" s="15">
        <v>63.0</v>
      </c>
      <c r="M8" s="15">
        <v>24.0</v>
      </c>
      <c r="N8" s="15">
        <v>15.0</v>
      </c>
      <c r="O8" s="15">
        <v>10.0</v>
      </c>
      <c r="P8" s="15">
        <v>5.0</v>
      </c>
      <c r="Q8" s="14">
        <v>45800.0</v>
      </c>
      <c r="R8" s="14">
        <v>45803.0</v>
      </c>
      <c r="S8" s="14">
        <v>45801.0</v>
      </c>
      <c r="T8" s="15">
        <v>1.0</v>
      </c>
      <c r="U8" s="14">
        <v>45775.0</v>
      </c>
      <c r="V8" s="15">
        <v>2.0</v>
      </c>
      <c r="W8" s="14">
        <v>45766.0</v>
      </c>
      <c r="X8" s="15">
        <v>6.0</v>
      </c>
      <c r="Y8" s="14">
        <v>45774.0</v>
      </c>
      <c r="Z8" s="15">
        <v>1.0</v>
      </c>
      <c r="AA8" s="14">
        <v>45774.0</v>
      </c>
      <c r="AB8" s="15">
        <v>0.0</v>
      </c>
      <c r="AC8" s="13"/>
    </row>
    <row r="9" ht="18.0" customHeight="1">
      <c r="A9" s="12" t="s">
        <v>42</v>
      </c>
      <c r="B9" s="13" t="s">
        <v>33</v>
      </c>
      <c r="C9" s="13" t="s">
        <v>34</v>
      </c>
      <c r="D9" s="13" t="s">
        <v>43</v>
      </c>
      <c r="E9" s="12" t="s">
        <v>44</v>
      </c>
      <c r="F9" s="13" t="s">
        <v>45</v>
      </c>
      <c r="G9" s="14">
        <v>45753.0</v>
      </c>
      <c r="H9" s="14">
        <v>45792.0</v>
      </c>
      <c r="I9" s="15">
        <v>17.0</v>
      </c>
      <c r="J9" s="15">
        <v>12.0</v>
      </c>
      <c r="K9" s="15">
        <v>5.0</v>
      </c>
      <c r="L9" s="15">
        <v>78.0</v>
      </c>
      <c r="M9" s="15">
        <v>21.0</v>
      </c>
      <c r="N9" s="15">
        <v>14.0</v>
      </c>
      <c r="O9" s="15">
        <v>12.0</v>
      </c>
      <c r="P9" s="15">
        <v>2.0</v>
      </c>
      <c r="Q9" s="14">
        <v>45785.0</v>
      </c>
      <c r="R9" s="14">
        <v>45788.0</v>
      </c>
      <c r="S9" s="14">
        <v>45789.0</v>
      </c>
      <c r="T9" s="15">
        <v>2.0</v>
      </c>
      <c r="U9" s="14">
        <v>45764.0</v>
      </c>
      <c r="V9" s="15">
        <v>4.0</v>
      </c>
      <c r="W9" s="14">
        <v>45757.0</v>
      </c>
      <c r="X9" s="15">
        <v>4.0</v>
      </c>
      <c r="Y9" s="14">
        <v>45762.0</v>
      </c>
      <c r="Z9" s="15">
        <v>2.0</v>
      </c>
      <c r="AA9" s="14">
        <v>45758.0</v>
      </c>
      <c r="AB9" s="15">
        <v>0.0</v>
      </c>
      <c r="AC9" s="13"/>
    </row>
    <row r="10" ht="18.0" customHeight="1">
      <c r="A10" s="12" t="s">
        <v>46</v>
      </c>
      <c r="B10" s="13" t="s">
        <v>33</v>
      </c>
      <c r="C10" s="13" t="s">
        <v>34</v>
      </c>
      <c r="D10" s="13" t="s">
        <v>47</v>
      </c>
      <c r="E10" s="12" t="s">
        <v>48</v>
      </c>
      <c r="F10" s="13" t="s">
        <v>49</v>
      </c>
      <c r="G10" s="14">
        <v>45768.0</v>
      </c>
      <c r="H10" s="14">
        <v>45822.0</v>
      </c>
      <c r="I10" s="15">
        <v>17.0</v>
      </c>
      <c r="J10" s="15">
        <v>12.0</v>
      </c>
      <c r="K10" s="15">
        <v>5.0</v>
      </c>
      <c r="L10" s="15">
        <v>65.0</v>
      </c>
      <c r="M10" s="15">
        <v>20.0</v>
      </c>
      <c r="N10" s="15">
        <v>13.0</v>
      </c>
      <c r="O10" s="15">
        <v>12.0</v>
      </c>
      <c r="P10" s="15">
        <v>1.0</v>
      </c>
      <c r="Q10" s="14">
        <v>45809.0</v>
      </c>
      <c r="R10" s="14">
        <v>45812.0</v>
      </c>
      <c r="S10" s="14">
        <v>45810.0</v>
      </c>
      <c r="T10" s="15">
        <v>2.0</v>
      </c>
      <c r="U10" s="14">
        <v>45782.0</v>
      </c>
      <c r="V10" s="15">
        <v>4.0</v>
      </c>
      <c r="W10" s="14">
        <v>45778.0</v>
      </c>
      <c r="X10" s="15">
        <v>4.0</v>
      </c>
      <c r="Y10" s="14">
        <v>45787.0</v>
      </c>
      <c r="Z10" s="15">
        <v>2.0</v>
      </c>
      <c r="AA10" s="14">
        <v>45777.0</v>
      </c>
      <c r="AB10" s="15">
        <v>0.0</v>
      </c>
      <c r="AC10" s="13"/>
    </row>
    <row r="11" ht="18.0" customHeight="1">
      <c r="A11" s="12" t="s">
        <v>50</v>
      </c>
      <c r="B11" s="13" t="s">
        <v>51</v>
      </c>
      <c r="C11" s="13" t="s">
        <v>52</v>
      </c>
      <c r="D11" s="13" t="s">
        <v>35</v>
      </c>
      <c r="E11" s="12" t="s">
        <v>53</v>
      </c>
      <c r="F11" s="13" t="s">
        <v>54</v>
      </c>
      <c r="G11" s="14">
        <v>45806.0</v>
      </c>
      <c r="H11" s="14">
        <v>45828.0</v>
      </c>
      <c r="I11" s="15">
        <v>17.0</v>
      </c>
      <c r="J11" s="15">
        <v>13.0</v>
      </c>
      <c r="K11" s="15">
        <v>4.0</v>
      </c>
      <c r="L11" s="15">
        <v>51.0</v>
      </c>
      <c r="M11" s="15">
        <v>19.0</v>
      </c>
      <c r="N11" s="15">
        <v>14.0</v>
      </c>
      <c r="O11" s="15">
        <v>14.0</v>
      </c>
      <c r="P11" s="15">
        <v>0.0</v>
      </c>
      <c r="Q11" s="14">
        <v>45834.0</v>
      </c>
      <c r="R11" s="14">
        <v>45840.0</v>
      </c>
      <c r="S11" s="13"/>
      <c r="T11" s="15">
        <v>3.0</v>
      </c>
      <c r="U11" s="14">
        <v>45816.0</v>
      </c>
      <c r="V11" s="15">
        <v>7.0</v>
      </c>
      <c r="W11" s="14">
        <v>45812.0</v>
      </c>
      <c r="X11" s="15">
        <v>2.0</v>
      </c>
      <c r="Y11" s="14">
        <v>45815.0</v>
      </c>
      <c r="Z11" s="15">
        <v>1.0</v>
      </c>
      <c r="AA11" s="14">
        <v>45825.0</v>
      </c>
      <c r="AB11" s="15">
        <v>1.0</v>
      </c>
      <c r="AC11" s="14">
        <v>45825.0</v>
      </c>
    </row>
    <row r="12" ht="18.0" customHeight="1">
      <c r="A12" s="12" t="s">
        <v>55</v>
      </c>
      <c r="B12" s="13" t="s">
        <v>51</v>
      </c>
      <c r="C12" s="13" t="s">
        <v>52</v>
      </c>
      <c r="D12" s="13" t="s">
        <v>39</v>
      </c>
      <c r="E12" s="12" t="s">
        <v>56</v>
      </c>
      <c r="F12" s="13" t="s">
        <v>57</v>
      </c>
      <c r="G12" s="14">
        <v>45802.0</v>
      </c>
      <c r="H12" s="14">
        <v>45838.0</v>
      </c>
      <c r="I12" s="15">
        <v>19.0</v>
      </c>
      <c r="J12" s="15">
        <v>17.0</v>
      </c>
      <c r="K12" s="15">
        <v>2.0</v>
      </c>
      <c r="L12" s="15">
        <v>52.0</v>
      </c>
      <c r="M12" s="15">
        <v>18.0</v>
      </c>
      <c r="N12" s="15">
        <v>17.0</v>
      </c>
      <c r="O12" s="15">
        <v>12.0</v>
      </c>
      <c r="P12" s="15">
        <v>5.0</v>
      </c>
      <c r="Q12" s="14">
        <v>45830.0</v>
      </c>
      <c r="R12" s="14">
        <v>45835.0</v>
      </c>
      <c r="S12" s="14">
        <v>45831.0</v>
      </c>
      <c r="T12" s="15">
        <v>3.0</v>
      </c>
      <c r="U12" s="14">
        <v>45806.0</v>
      </c>
      <c r="V12" s="15">
        <v>5.0</v>
      </c>
      <c r="W12" s="14">
        <v>45816.0</v>
      </c>
      <c r="X12" s="15">
        <v>2.0</v>
      </c>
      <c r="Y12" s="14">
        <v>45816.0</v>
      </c>
      <c r="Z12" s="15">
        <v>1.0</v>
      </c>
      <c r="AA12" s="14">
        <v>45818.0</v>
      </c>
      <c r="AB12" s="15">
        <v>1.0</v>
      </c>
      <c r="AC12" s="14">
        <v>45820.0</v>
      </c>
    </row>
    <row r="13" ht="18.0" customHeight="1">
      <c r="A13" s="12" t="s">
        <v>58</v>
      </c>
      <c r="B13" s="13" t="s">
        <v>51</v>
      </c>
      <c r="C13" s="13" t="s">
        <v>52</v>
      </c>
      <c r="D13" s="13" t="s">
        <v>59</v>
      </c>
      <c r="E13" s="12" t="s">
        <v>60</v>
      </c>
      <c r="F13" s="13" t="s">
        <v>61</v>
      </c>
      <c r="G13" s="14">
        <v>45812.0</v>
      </c>
      <c r="H13" s="14">
        <v>45838.0</v>
      </c>
      <c r="I13" s="15">
        <v>20.0</v>
      </c>
      <c r="J13" s="15">
        <v>13.0</v>
      </c>
      <c r="K13" s="15">
        <v>7.0</v>
      </c>
      <c r="L13" s="15">
        <v>60.0</v>
      </c>
      <c r="M13" s="15">
        <v>22.0</v>
      </c>
      <c r="N13" s="15">
        <v>16.0</v>
      </c>
      <c r="O13" s="15">
        <v>11.0</v>
      </c>
      <c r="P13" s="15">
        <v>5.0</v>
      </c>
      <c r="Q13" s="14">
        <v>45836.0</v>
      </c>
      <c r="R13" s="14">
        <v>45838.0</v>
      </c>
      <c r="S13" s="14">
        <v>45838.0</v>
      </c>
      <c r="T13" s="15">
        <v>3.0</v>
      </c>
      <c r="U13" s="14">
        <v>45819.0</v>
      </c>
      <c r="V13" s="15">
        <v>4.0</v>
      </c>
      <c r="W13" s="14">
        <v>45830.0</v>
      </c>
      <c r="X13" s="15">
        <v>2.0</v>
      </c>
      <c r="Y13" s="14">
        <v>45817.0</v>
      </c>
      <c r="Z13" s="15">
        <v>1.0</v>
      </c>
      <c r="AA13" s="14">
        <v>45823.0</v>
      </c>
      <c r="AB13" s="15">
        <v>1.0</v>
      </c>
      <c r="AC13" s="14">
        <v>45830.0</v>
      </c>
    </row>
    <row r="14" ht="18.0" customHeight="1">
      <c r="A14" s="12" t="s">
        <v>62</v>
      </c>
      <c r="B14" s="13" t="s">
        <v>51</v>
      </c>
      <c r="C14" s="13" t="s">
        <v>52</v>
      </c>
      <c r="D14" s="13" t="s">
        <v>43</v>
      </c>
      <c r="E14" s="12" t="s">
        <v>63</v>
      </c>
      <c r="F14" s="13" t="s">
        <v>64</v>
      </c>
      <c r="G14" s="14">
        <v>45778.0</v>
      </c>
      <c r="H14" s="14">
        <v>45797.0</v>
      </c>
      <c r="I14" s="15">
        <v>18.0</v>
      </c>
      <c r="J14" s="15">
        <v>13.0</v>
      </c>
      <c r="K14" s="15">
        <v>5.0</v>
      </c>
      <c r="L14" s="15">
        <v>61.0</v>
      </c>
      <c r="M14" s="15">
        <v>23.0</v>
      </c>
      <c r="N14" s="15">
        <v>17.0</v>
      </c>
      <c r="O14" s="15">
        <v>12.0</v>
      </c>
      <c r="P14" s="15">
        <v>5.0</v>
      </c>
      <c r="Q14" s="14">
        <v>45824.0</v>
      </c>
      <c r="R14" s="14">
        <v>45825.0</v>
      </c>
      <c r="S14" s="14">
        <v>45829.0</v>
      </c>
      <c r="T14" s="15">
        <v>3.0</v>
      </c>
      <c r="U14" s="14">
        <v>45787.0</v>
      </c>
      <c r="V14" s="15">
        <v>5.0</v>
      </c>
      <c r="W14" s="14">
        <v>45798.0</v>
      </c>
      <c r="X14" s="15">
        <v>2.0</v>
      </c>
      <c r="Y14" s="14">
        <v>45782.0</v>
      </c>
      <c r="Z14" s="15">
        <v>1.0</v>
      </c>
      <c r="AA14" s="14">
        <v>45782.0</v>
      </c>
      <c r="AB14" s="15">
        <v>1.0</v>
      </c>
      <c r="AC14" s="14">
        <v>45795.0</v>
      </c>
    </row>
    <row r="15" ht="18.0" customHeight="1">
      <c r="A15" s="12" t="s">
        <v>65</v>
      </c>
      <c r="B15" s="13" t="s">
        <v>66</v>
      </c>
      <c r="C15" s="13" t="s">
        <v>67</v>
      </c>
      <c r="D15" s="13" t="s">
        <v>68</v>
      </c>
      <c r="E15" s="12" t="s">
        <v>69</v>
      </c>
      <c r="F15" s="13" t="s">
        <v>70</v>
      </c>
      <c r="G15" s="14">
        <v>45773.0</v>
      </c>
      <c r="H15" s="14">
        <v>45796.0</v>
      </c>
      <c r="I15" s="15">
        <v>15.0</v>
      </c>
      <c r="J15" s="15">
        <v>11.0</v>
      </c>
      <c r="K15" s="15">
        <v>4.0</v>
      </c>
      <c r="L15" s="15">
        <v>44.0</v>
      </c>
      <c r="M15" s="15">
        <v>17.0</v>
      </c>
      <c r="N15" s="15">
        <v>12.0</v>
      </c>
      <c r="O15" s="15">
        <v>12.0</v>
      </c>
      <c r="P15" s="15">
        <v>0.0</v>
      </c>
      <c r="Q15" s="14">
        <v>45807.0</v>
      </c>
      <c r="R15" s="14">
        <v>45808.0</v>
      </c>
      <c r="S15" s="13"/>
      <c r="T15" s="15">
        <v>2.0</v>
      </c>
      <c r="U15" s="14">
        <v>45787.0</v>
      </c>
      <c r="V15" s="15">
        <v>7.0</v>
      </c>
      <c r="W15" s="14">
        <v>45786.0</v>
      </c>
      <c r="X15" s="15">
        <v>2.0</v>
      </c>
      <c r="Y15" s="14">
        <v>45789.0</v>
      </c>
      <c r="Z15" s="15">
        <v>0.0</v>
      </c>
      <c r="AA15" s="13"/>
      <c r="AB15" s="15">
        <v>1.0</v>
      </c>
      <c r="AC15" s="14">
        <v>45791.0</v>
      </c>
    </row>
    <row r="16" ht="18.0" customHeight="1">
      <c r="A16" s="12" t="s">
        <v>71</v>
      </c>
      <c r="B16" s="13" t="s">
        <v>66</v>
      </c>
      <c r="C16" s="13" t="s">
        <v>67</v>
      </c>
      <c r="D16" s="13" t="s">
        <v>68</v>
      </c>
      <c r="E16" s="12" t="s">
        <v>72</v>
      </c>
      <c r="F16" s="13" t="s">
        <v>73</v>
      </c>
      <c r="G16" s="14">
        <v>45790.0</v>
      </c>
      <c r="H16" s="14">
        <v>45806.0</v>
      </c>
      <c r="I16" s="15">
        <v>13.0</v>
      </c>
      <c r="J16" s="15">
        <v>10.0</v>
      </c>
      <c r="K16" s="15">
        <v>3.0</v>
      </c>
      <c r="L16" s="15">
        <v>38.0</v>
      </c>
      <c r="M16" s="15">
        <v>17.0</v>
      </c>
      <c r="N16" s="15">
        <v>13.0</v>
      </c>
      <c r="O16" s="15">
        <v>9.0</v>
      </c>
      <c r="P16" s="15">
        <v>4.0</v>
      </c>
      <c r="Q16" s="14">
        <v>45831.0</v>
      </c>
      <c r="R16" s="14">
        <v>45835.0</v>
      </c>
      <c r="S16" s="14">
        <v>45833.0</v>
      </c>
      <c r="T16" s="15">
        <v>1.0</v>
      </c>
      <c r="U16" s="14">
        <v>45808.0</v>
      </c>
      <c r="V16" s="15">
        <v>7.0</v>
      </c>
      <c r="W16" s="14">
        <v>45799.0</v>
      </c>
      <c r="X16" s="15">
        <v>1.0</v>
      </c>
      <c r="Y16" s="14">
        <v>45800.0</v>
      </c>
      <c r="Z16" s="15">
        <v>0.0</v>
      </c>
      <c r="AA16" s="13"/>
      <c r="AB16" s="15">
        <v>0.0</v>
      </c>
      <c r="AC16" s="13"/>
    </row>
    <row r="17" ht="18.0" customHeight="1">
      <c r="A17" s="12" t="s">
        <v>74</v>
      </c>
      <c r="B17" s="13" t="s">
        <v>66</v>
      </c>
      <c r="C17" s="13" t="s">
        <v>67</v>
      </c>
      <c r="D17" s="13" t="s">
        <v>68</v>
      </c>
      <c r="E17" s="12" t="s">
        <v>75</v>
      </c>
      <c r="F17" s="13" t="s">
        <v>76</v>
      </c>
      <c r="G17" s="14">
        <v>45800.0</v>
      </c>
      <c r="H17" s="14">
        <v>45828.0</v>
      </c>
      <c r="I17" s="15">
        <v>14.0</v>
      </c>
      <c r="J17" s="15">
        <v>13.0</v>
      </c>
      <c r="K17" s="15">
        <v>1.0</v>
      </c>
      <c r="L17" s="15">
        <v>49.0</v>
      </c>
      <c r="M17" s="15">
        <v>17.0</v>
      </c>
      <c r="N17" s="15">
        <v>12.0</v>
      </c>
      <c r="O17" s="15">
        <v>11.0</v>
      </c>
      <c r="P17" s="15">
        <v>1.0</v>
      </c>
      <c r="Q17" s="14">
        <v>45836.0</v>
      </c>
      <c r="R17" s="14">
        <v>45839.0</v>
      </c>
      <c r="S17" s="14">
        <v>45837.0</v>
      </c>
      <c r="T17" s="15">
        <v>2.0</v>
      </c>
      <c r="U17" s="14">
        <v>45803.0</v>
      </c>
      <c r="V17" s="15">
        <v>6.0</v>
      </c>
      <c r="W17" s="14">
        <v>45805.0</v>
      </c>
      <c r="X17" s="15">
        <v>2.0</v>
      </c>
      <c r="Y17" s="14">
        <v>45803.0</v>
      </c>
      <c r="Z17" s="15">
        <v>0.0</v>
      </c>
      <c r="AA17" s="13"/>
      <c r="AB17" s="15">
        <v>1.0</v>
      </c>
      <c r="AC17" s="14">
        <v>45814.0</v>
      </c>
    </row>
    <row r="18" ht="18.0" customHeight="1">
      <c r="A18" s="12" t="s">
        <v>77</v>
      </c>
      <c r="B18" s="13" t="s">
        <v>66</v>
      </c>
      <c r="C18" s="13" t="s">
        <v>67</v>
      </c>
      <c r="D18" s="13" t="s">
        <v>68</v>
      </c>
      <c r="E18" s="12" t="s">
        <v>78</v>
      </c>
      <c r="F18" s="13" t="s">
        <v>79</v>
      </c>
      <c r="G18" s="14">
        <v>45754.0</v>
      </c>
      <c r="H18" s="14">
        <v>45788.0</v>
      </c>
      <c r="I18" s="15">
        <v>13.0</v>
      </c>
      <c r="J18" s="15">
        <v>11.0</v>
      </c>
      <c r="K18" s="15">
        <v>2.0</v>
      </c>
      <c r="L18" s="15">
        <v>43.0</v>
      </c>
      <c r="M18" s="15">
        <v>17.0</v>
      </c>
      <c r="N18" s="15">
        <v>12.0</v>
      </c>
      <c r="O18" s="15">
        <v>10.0</v>
      </c>
      <c r="P18" s="15">
        <v>2.0</v>
      </c>
      <c r="Q18" s="14">
        <v>45803.0</v>
      </c>
      <c r="R18" s="14">
        <v>45810.0</v>
      </c>
      <c r="S18" s="14">
        <v>45805.0</v>
      </c>
      <c r="T18" s="15">
        <v>1.0</v>
      </c>
      <c r="U18" s="14">
        <v>45773.0</v>
      </c>
      <c r="V18" s="15">
        <v>8.0</v>
      </c>
      <c r="W18" s="14">
        <v>45756.0</v>
      </c>
      <c r="X18" s="15">
        <v>1.0</v>
      </c>
      <c r="Y18" s="14">
        <v>45758.0</v>
      </c>
      <c r="Z18" s="15">
        <v>0.0</v>
      </c>
      <c r="AA18" s="13"/>
      <c r="AB18" s="15">
        <v>0.0</v>
      </c>
      <c r="AC18" s="13"/>
    </row>
    <row r="19" ht="18.0" customHeight="1">
      <c r="A19" s="12" t="s">
        <v>80</v>
      </c>
      <c r="B19" s="13" t="s">
        <v>81</v>
      </c>
      <c r="C19" s="13" t="s">
        <v>82</v>
      </c>
      <c r="D19" s="13" t="s">
        <v>39</v>
      </c>
      <c r="E19" s="12" t="s">
        <v>83</v>
      </c>
      <c r="F19" s="13" t="s">
        <v>84</v>
      </c>
      <c r="G19" s="14">
        <v>45802.0</v>
      </c>
      <c r="H19" s="14">
        <v>45829.0</v>
      </c>
      <c r="I19" s="15">
        <v>19.0</v>
      </c>
      <c r="J19" s="15">
        <v>18.0</v>
      </c>
      <c r="K19" s="15">
        <v>1.0</v>
      </c>
      <c r="L19" s="15">
        <v>35.0</v>
      </c>
      <c r="M19" s="15">
        <v>16.0</v>
      </c>
      <c r="N19" s="15">
        <v>14.0</v>
      </c>
      <c r="O19" s="15">
        <v>13.0</v>
      </c>
      <c r="P19" s="15">
        <v>1.0</v>
      </c>
      <c r="Q19" s="14">
        <v>45831.0</v>
      </c>
      <c r="R19" s="14">
        <v>45833.0</v>
      </c>
      <c r="S19" s="14">
        <v>45832.0</v>
      </c>
      <c r="T19" s="15">
        <v>4.0</v>
      </c>
      <c r="U19" s="14">
        <v>45819.0</v>
      </c>
      <c r="V19" s="15">
        <v>8.0</v>
      </c>
      <c r="W19" s="14">
        <v>45808.0</v>
      </c>
      <c r="X19" s="15">
        <v>0.0</v>
      </c>
      <c r="Y19" s="13"/>
      <c r="Z19" s="15">
        <v>0.0</v>
      </c>
      <c r="AA19" s="13"/>
      <c r="AB19" s="15">
        <v>1.0</v>
      </c>
      <c r="AC19" s="14">
        <v>45810.0</v>
      </c>
    </row>
    <row r="20" ht="18.0" customHeight="1">
      <c r="A20" s="12" t="s">
        <v>85</v>
      </c>
      <c r="B20" s="13" t="s">
        <v>81</v>
      </c>
      <c r="C20" s="13" t="s">
        <v>82</v>
      </c>
      <c r="D20" s="13" t="s">
        <v>43</v>
      </c>
      <c r="E20" s="12" t="s">
        <v>86</v>
      </c>
      <c r="F20" s="13" t="s">
        <v>87</v>
      </c>
      <c r="G20" s="14">
        <v>45771.0</v>
      </c>
      <c r="H20" s="14">
        <v>45783.0</v>
      </c>
      <c r="I20" s="15">
        <v>21.0</v>
      </c>
      <c r="J20" s="15">
        <v>18.0</v>
      </c>
      <c r="K20" s="15">
        <v>3.0</v>
      </c>
      <c r="L20" s="15">
        <v>41.0</v>
      </c>
      <c r="M20" s="15">
        <v>16.0</v>
      </c>
      <c r="N20" s="15">
        <v>16.0</v>
      </c>
      <c r="O20" s="15">
        <v>14.0</v>
      </c>
      <c r="P20" s="15">
        <v>2.0</v>
      </c>
      <c r="Q20" s="14">
        <v>45821.0</v>
      </c>
      <c r="R20" s="14">
        <v>45826.0</v>
      </c>
      <c r="S20" s="14">
        <v>45823.0</v>
      </c>
      <c r="T20" s="15">
        <v>5.0</v>
      </c>
      <c r="U20" s="14">
        <v>45775.0</v>
      </c>
      <c r="V20" s="15">
        <v>6.0</v>
      </c>
      <c r="W20" s="14">
        <v>45780.0</v>
      </c>
      <c r="X20" s="15">
        <v>1.0</v>
      </c>
      <c r="Y20" s="14">
        <v>45785.0</v>
      </c>
      <c r="Z20" s="15">
        <v>0.0</v>
      </c>
      <c r="AA20" s="13"/>
      <c r="AB20" s="15">
        <v>2.0</v>
      </c>
      <c r="AC20" s="14">
        <v>45776.0</v>
      </c>
    </row>
    <row r="21" ht="18.0" customHeight="1">
      <c r="A21" s="12" t="s">
        <v>88</v>
      </c>
      <c r="B21" s="13" t="s">
        <v>81</v>
      </c>
      <c r="C21" s="13" t="s">
        <v>82</v>
      </c>
      <c r="D21" s="13" t="s">
        <v>59</v>
      </c>
      <c r="E21" s="12" t="s">
        <v>89</v>
      </c>
      <c r="F21" s="13" t="s">
        <v>90</v>
      </c>
      <c r="G21" s="14">
        <v>45764.0</v>
      </c>
      <c r="H21" s="14">
        <v>45794.0</v>
      </c>
      <c r="I21" s="15">
        <v>21.0</v>
      </c>
      <c r="J21" s="15">
        <v>16.0</v>
      </c>
      <c r="K21" s="15">
        <v>5.0</v>
      </c>
      <c r="L21" s="15">
        <v>33.0</v>
      </c>
      <c r="M21" s="15">
        <v>18.0</v>
      </c>
      <c r="N21" s="15">
        <v>16.0</v>
      </c>
      <c r="O21" s="15">
        <v>13.0</v>
      </c>
      <c r="P21" s="15">
        <v>3.0</v>
      </c>
      <c r="Q21" s="14">
        <v>45813.0</v>
      </c>
      <c r="R21" s="14">
        <v>45820.0</v>
      </c>
      <c r="S21" s="14">
        <v>45814.0</v>
      </c>
      <c r="T21" s="15">
        <v>3.0</v>
      </c>
      <c r="U21" s="14">
        <v>45775.0</v>
      </c>
      <c r="V21" s="15">
        <v>9.0</v>
      </c>
      <c r="W21" s="14">
        <v>45780.0</v>
      </c>
      <c r="X21" s="15">
        <v>0.0</v>
      </c>
      <c r="Y21" s="13"/>
      <c r="Z21" s="15">
        <v>0.0</v>
      </c>
      <c r="AA21" s="13"/>
      <c r="AB21" s="15">
        <v>1.0</v>
      </c>
      <c r="AC21" s="14">
        <v>45776.0</v>
      </c>
    </row>
    <row r="22" ht="18.0" customHeight="1">
      <c r="A22" s="12" t="s">
        <v>91</v>
      </c>
      <c r="B22" s="13" t="s">
        <v>81</v>
      </c>
      <c r="C22" s="13" t="s">
        <v>82</v>
      </c>
      <c r="D22" s="13" t="s">
        <v>47</v>
      </c>
      <c r="E22" s="12" t="s">
        <v>92</v>
      </c>
      <c r="F22" s="13" t="s">
        <v>93</v>
      </c>
      <c r="G22" s="14">
        <v>45784.0</v>
      </c>
      <c r="H22" s="14">
        <v>45799.0</v>
      </c>
      <c r="I22" s="15">
        <v>18.0</v>
      </c>
      <c r="J22" s="15">
        <v>18.0</v>
      </c>
      <c r="K22" s="15">
        <v>1.0</v>
      </c>
      <c r="L22" s="15">
        <v>39.0</v>
      </c>
      <c r="M22" s="15">
        <v>16.0</v>
      </c>
      <c r="N22" s="15">
        <v>16.0</v>
      </c>
      <c r="O22" s="15">
        <v>14.0</v>
      </c>
      <c r="P22" s="15">
        <v>2.0</v>
      </c>
      <c r="Q22" s="14">
        <v>45804.0</v>
      </c>
      <c r="R22" s="14">
        <v>45810.0</v>
      </c>
      <c r="S22" s="14">
        <v>45809.0</v>
      </c>
      <c r="T22" s="15">
        <v>4.0</v>
      </c>
      <c r="U22" s="14">
        <v>45800.0</v>
      </c>
      <c r="V22" s="15">
        <v>7.0</v>
      </c>
      <c r="W22" s="14">
        <v>45803.0</v>
      </c>
      <c r="X22" s="15">
        <v>1.0</v>
      </c>
      <c r="Y22" s="14">
        <v>45795.0</v>
      </c>
      <c r="Z22" s="15">
        <v>0.0</v>
      </c>
      <c r="AA22" s="13"/>
      <c r="AB22" s="15">
        <v>2.0</v>
      </c>
      <c r="AC22" s="14">
        <v>45802.0</v>
      </c>
    </row>
    <row r="23" ht="9.75" customHeight="1"/>
    <row r="24" ht="24.0" customHeight="1">
      <c r="A24" s="16" t="s">
        <v>94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"/>
    </row>
    <row r="25" ht="27.75" customHeight="1">
      <c r="A25" s="17" t="s">
        <v>3</v>
      </c>
      <c r="B25" s="17" t="s">
        <v>4</v>
      </c>
      <c r="C25" s="17" t="s">
        <v>5</v>
      </c>
      <c r="D25" s="17" t="s">
        <v>6</v>
      </c>
      <c r="E25" s="17" t="s">
        <v>7</v>
      </c>
      <c r="F25" s="17" t="s">
        <v>8</v>
      </c>
      <c r="G25" s="17" t="s">
        <v>9</v>
      </c>
      <c r="H25" s="17" t="s">
        <v>10</v>
      </c>
      <c r="I25" s="17" t="s">
        <v>11</v>
      </c>
      <c r="J25" s="17" t="s">
        <v>12</v>
      </c>
      <c r="K25" s="17" t="s">
        <v>13</v>
      </c>
      <c r="L25" s="17" t="s">
        <v>14</v>
      </c>
      <c r="M25" s="17" t="s">
        <v>15</v>
      </c>
      <c r="N25" s="17" t="s">
        <v>16</v>
      </c>
      <c r="O25" s="17" t="s">
        <v>17</v>
      </c>
      <c r="P25" s="17" t="s">
        <v>18</v>
      </c>
      <c r="Q25" s="17" t="s">
        <v>19</v>
      </c>
      <c r="R25" s="17" t="s">
        <v>20</v>
      </c>
      <c r="S25" s="17" t="s">
        <v>21</v>
      </c>
      <c r="T25" s="17" t="s">
        <v>22</v>
      </c>
      <c r="U25" s="17" t="s">
        <v>23</v>
      </c>
      <c r="V25" s="17" t="s">
        <v>24</v>
      </c>
      <c r="W25" s="17" t="s">
        <v>25</v>
      </c>
      <c r="X25" s="17" t="s">
        <v>26</v>
      </c>
      <c r="Y25" s="17" t="s">
        <v>27</v>
      </c>
      <c r="Z25" s="17" t="s">
        <v>28</v>
      </c>
      <c r="AA25" s="17" t="s">
        <v>29</v>
      </c>
      <c r="AB25" s="17" t="s">
        <v>30</v>
      </c>
      <c r="AC25" s="17" t="s">
        <v>31</v>
      </c>
    </row>
    <row r="26" ht="19.5" customHeight="1">
      <c r="A26" s="18" t="s">
        <v>95</v>
      </c>
      <c r="B26" s="19" t="s">
        <v>96</v>
      </c>
      <c r="C26" s="19" t="s">
        <v>97</v>
      </c>
      <c r="D26" s="19" t="s">
        <v>98</v>
      </c>
      <c r="E26" s="19"/>
      <c r="F26" s="19"/>
      <c r="G26" s="19"/>
      <c r="H26" s="19"/>
      <c r="I26" s="20">
        <f t="shared" ref="I26:P26" si="1">SUM(I7:I22)</f>
        <v>275</v>
      </c>
      <c r="J26" s="20">
        <f t="shared" si="1"/>
        <v>217</v>
      </c>
      <c r="K26" s="20">
        <f t="shared" si="1"/>
        <v>59</v>
      </c>
      <c r="L26" s="20">
        <f t="shared" si="1"/>
        <v>815</v>
      </c>
      <c r="M26" s="20">
        <f t="shared" si="1"/>
        <v>301</v>
      </c>
      <c r="N26" s="20">
        <f t="shared" si="1"/>
        <v>232</v>
      </c>
      <c r="O26" s="20">
        <f t="shared" si="1"/>
        <v>191</v>
      </c>
      <c r="P26" s="20">
        <f t="shared" si="1"/>
        <v>41</v>
      </c>
      <c r="Q26" s="19"/>
      <c r="R26" s="19"/>
      <c r="S26" s="19"/>
      <c r="T26" s="20">
        <f>SUM(T7:T22)</f>
        <v>41</v>
      </c>
      <c r="U26" s="19"/>
      <c r="V26" s="20">
        <f>SUM(V7:V22)</f>
        <v>93</v>
      </c>
      <c r="W26" s="19"/>
      <c r="X26" s="20">
        <f>SUM(X7:X22)</f>
        <v>34</v>
      </c>
      <c r="Y26" s="19"/>
      <c r="Z26" s="20">
        <f>SUM(Z7:Z22)</f>
        <v>11</v>
      </c>
      <c r="AA26" s="19"/>
      <c r="AB26" s="20">
        <f>SUM(AB7:AB22)</f>
        <v>12</v>
      </c>
      <c r="AC26" s="19"/>
    </row>
    <row r="27" ht="19.5" customHeight="1">
      <c r="A27" s="21" t="s">
        <v>99</v>
      </c>
      <c r="B27" s="22" t="s">
        <v>33</v>
      </c>
      <c r="C27" s="22" t="s">
        <v>34</v>
      </c>
      <c r="D27" s="22"/>
      <c r="E27" s="22"/>
      <c r="F27" s="22"/>
      <c r="G27" s="22"/>
      <c r="H27" s="22"/>
      <c r="I27" s="23">
        <f t="shared" ref="I27:P27" si="2">SUMIF($B$7:$B$22,"Clinical",I$7:I$22)</f>
        <v>67</v>
      </c>
      <c r="J27" s="23">
        <f t="shared" si="2"/>
        <v>46</v>
      </c>
      <c r="K27" s="23">
        <f t="shared" si="2"/>
        <v>21</v>
      </c>
      <c r="L27" s="23">
        <f t="shared" si="2"/>
        <v>269</v>
      </c>
      <c r="M27" s="23">
        <f t="shared" si="2"/>
        <v>85</v>
      </c>
      <c r="N27" s="23">
        <f t="shared" si="2"/>
        <v>57</v>
      </c>
      <c r="O27" s="23">
        <f t="shared" si="2"/>
        <v>46</v>
      </c>
      <c r="P27" s="23">
        <f t="shared" si="2"/>
        <v>11</v>
      </c>
      <c r="Q27" s="22"/>
      <c r="R27" s="22"/>
      <c r="S27" s="22"/>
      <c r="T27" s="23">
        <f>SUMIF($B$7:$B$22,"Clinical",T$7:T$22)</f>
        <v>7</v>
      </c>
      <c r="U27" s="22"/>
      <c r="V27" s="23">
        <f>SUMIF($B$7:$B$22,"Clinical",V$7:V$22)</f>
        <v>14</v>
      </c>
      <c r="W27" s="22"/>
      <c r="X27" s="23">
        <f>SUMIF($B$7:$B$22,"Clinical",X$7:X$22)</f>
        <v>18</v>
      </c>
      <c r="Y27" s="22"/>
      <c r="Z27" s="23">
        <f>SUMIF($B$7:$B$22,"Clinical",Z$7:Z$22)</f>
        <v>7</v>
      </c>
      <c r="AA27" s="22"/>
      <c r="AB27" s="23">
        <f>SUMIF($B$7:$B$22,"Clinical",AB$7:AB$22)</f>
        <v>0</v>
      </c>
      <c r="AC27" s="22"/>
    </row>
    <row r="28" ht="19.5" customHeight="1">
      <c r="A28" s="24" t="s">
        <v>100</v>
      </c>
      <c r="B28" s="25" t="s">
        <v>51</v>
      </c>
      <c r="C28" s="25" t="s">
        <v>52</v>
      </c>
      <c r="D28" s="25"/>
      <c r="E28" s="25"/>
      <c r="F28" s="25"/>
      <c r="G28" s="25"/>
      <c r="H28" s="25"/>
      <c r="I28" s="26">
        <f t="shared" ref="I28:P28" si="3">SUMIF($B$7:$B$22,"Allied Health",I$7:I$22)</f>
        <v>74</v>
      </c>
      <c r="J28" s="26">
        <f t="shared" si="3"/>
        <v>56</v>
      </c>
      <c r="K28" s="26">
        <f t="shared" si="3"/>
        <v>18</v>
      </c>
      <c r="L28" s="26">
        <f t="shared" si="3"/>
        <v>224</v>
      </c>
      <c r="M28" s="26">
        <f t="shared" si="3"/>
        <v>82</v>
      </c>
      <c r="N28" s="26">
        <f t="shared" si="3"/>
        <v>64</v>
      </c>
      <c r="O28" s="26">
        <f t="shared" si="3"/>
        <v>49</v>
      </c>
      <c r="P28" s="26">
        <f t="shared" si="3"/>
        <v>15</v>
      </c>
      <c r="Q28" s="25"/>
      <c r="R28" s="25"/>
      <c r="S28" s="25"/>
      <c r="T28" s="26">
        <f>SUMIF($B$7:$B$22,"Allied Health",T$7:T$22)</f>
        <v>12</v>
      </c>
      <c r="U28" s="25"/>
      <c r="V28" s="26">
        <f>SUMIF($B$7:$B$22,"Allied Health",V$7:V$22)</f>
        <v>21</v>
      </c>
      <c r="W28" s="25"/>
      <c r="X28" s="26">
        <f>SUMIF($B$7:$B$22,"Allied Health",X$7:X$22)</f>
        <v>8</v>
      </c>
      <c r="Y28" s="25"/>
      <c r="Z28" s="26">
        <f>SUMIF($B$7:$B$22,"Allied Health",Z$7:Z$22)</f>
        <v>4</v>
      </c>
      <c r="AA28" s="25"/>
      <c r="AB28" s="26">
        <f>SUMIF($B$7:$B$22,"Allied Health",AB$7:AB$22)</f>
        <v>4</v>
      </c>
      <c r="AC28" s="25"/>
    </row>
    <row r="29" ht="19.5" customHeight="1">
      <c r="A29" s="27" t="s">
        <v>101</v>
      </c>
      <c r="B29" s="28" t="s">
        <v>66</v>
      </c>
      <c r="C29" s="28" t="s">
        <v>67</v>
      </c>
      <c r="D29" s="28"/>
      <c r="E29" s="28"/>
      <c r="F29" s="28"/>
      <c r="G29" s="28"/>
      <c r="H29" s="28"/>
      <c r="I29" s="29">
        <f t="shared" ref="I29:P29" si="4">SUMIF($B$7:$B$22,"RCM",I$7:I$22)</f>
        <v>55</v>
      </c>
      <c r="J29" s="29">
        <f t="shared" si="4"/>
        <v>45</v>
      </c>
      <c r="K29" s="29">
        <f t="shared" si="4"/>
        <v>10</v>
      </c>
      <c r="L29" s="29">
        <f t="shared" si="4"/>
        <v>174</v>
      </c>
      <c r="M29" s="29">
        <f t="shared" si="4"/>
        <v>68</v>
      </c>
      <c r="N29" s="29">
        <f t="shared" si="4"/>
        <v>49</v>
      </c>
      <c r="O29" s="29">
        <f t="shared" si="4"/>
        <v>42</v>
      </c>
      <c r="P29" s="29">
        <f t="shared" si="4"/>
        <v>7</v>
      </c>
      <c r="Q29" s="28"/>
      <c r="R29" s="28"/>
      <c r="S29" s="28"/>
      <c r="T29" s="29">
        <f>SUMIF($B$7:$B$22,"RCM",T$7:T$22)</f>
        <v>6</v>
      </c>
      <c r="U29" s="28"/>
      <c r="V29" s="29">
        <f>SUMIF($B$7:$B$22,"RCM",V$7:V$22)</f>
        <v>28</v>
      </c>
      <c r="W29" s="28"/>
      <c r="X29" s="29">
        <f>SUMIF($B$7:$B$22,"RCM",X$7:X$22)</f>
        <v>6</v>
      </c>
      <c r="Y29" s="28"/>
      <c r="Z29" s="29">
        <f>SUMIF($B$7:$B$22,"RCM",Z$7:Z$22)</f>
        <v>0</v>
      </c>
      <c r="AA29" s="28"/>
      <c r="AB29" s="29">
        <f>SUMIF($B$7:$B$22,"RCM",AB$7:AB$22)</f>
        <v>2</v>
      </c>
      <c r="AC29" s="28"/>
    </row>
    <row r="30" ht="19.5" customHeight="1">
      <c r="A30" s="30" t="s">
        <v>102</v>
      </c>
      <c r="B30" s="31" t="s">
        <v>81</v>
      </c>
      <c r="C30" s="31" t="s">
        <v>82</v>
      </c>
      <c r="D30" s="31"/>
      <c r="E30" s="31"/>
      <c r="F30" s="31"/>
      <c r="G30" s="31"/>
      <c r="H30" s="31"/>
      <c r="I30" s="32">
        <f t="shared" ref="I30:P30" si="5">SUMIF($B$7:$B$22,"Operations",I$7:I$22)</f>
        <v>79</v>
      </c>
      <c r="J30" s="32">
        <f t="shared" si="5"/>
        <v>70</v>
      </c>
      <c r="K30" s="32">
        <f t="shared" si="5"/>
        <v>10</v>
      </c>
      <c r="L30" s="32">
        <f t="shared" si="5"/>
        <v>148</v>
      </c>
      <c r="M30" s="32">
        <f t="shared" si="5"/>
        <v>66</v>
      </c>
      <c r="N30" s="32">
        <f t="shared" si="5"/>
        <v>62</v>
      </c>
      <c r="O30" s="32">
        <f t="shared" si="5"/>
        <v>54</v>
      </c>
      <c r="P30" s="32">
        <f t="shared" si="5"/>
        <v>8</v>
      </c>
      <c r="Q30" s="31"/>
      <c r="R30" s="31"/>
      <c r="S30" s="31"/>
      <c r="T30" s="32">
        <f>SUMIF($B$7:$B$22,"Operations",T$7:T$22)</f>
        <v>16</v>
      </c>
      <c r="U30" s="31"/>
      <c r="V30" s="32">
        <f>SUMIF($B$7:$B$22,"Operations",V$7:V$22)</f>
        <v>30</v>
      </c>
      <c r="W30" s="31"/>
      <c r="X30" s="32">
        <f>SUMIF($B$7:$B$22,"Operations",X$7:X$22)</f>
        <v>2</v>
      </c>
      <c r="Y30" s="31"/>
      <c r="Z30" s="32">
        <f>SUMIF($B$7:$B$22,"Operations",Z$7:Z$22)</f>
        <v>0</v>
      </c>
      <c r="AA30" s="31"/>
      <c r="AB30" s="32">
        <f>SUMIF($B$7:$B$22,"Operations",AB$7:AB$22)</f>
        <v>6</v>
      </c>
      <c r="AC30" s="3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C1"/>
    <mergeCell ref="A2:AC2"/>
    <mergeCell ref="A4:AC4"/>
    <mergeCell ref="A24:AC24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2026-04-14T00:51:41Z</dcterms:created>
  <dc:creator>openpyxl</dc:creator>
</cp:coreProperties>
</file>